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22116" windowHeight="10872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B20" i="1" l="1"/>
  <c r="E24" i="1"/>
  <c r="E25" i="1" l="1"/>
</calcChain>
</file>

<file path=xl/comments1.xml><?xml version="1.0" encoding="utf-8"?>
<comments xmlns="http://schemas.openxmlformats.org/spreadsheetml/2006/main">
  <authors>
    <author>Jose Maria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463+36 en alojamientto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 xml:space="preserve">454+36
</t>
        </r>
      </text>
    </comment>
  </commentList>
</comments>
</file>

<file path=xl/sharedStrings.xml><?xml version="1.0" encoding="utf-8"?>
<sst xmlns="http://schemas.openxmlformats.org/spreadsheetml/2006/main" count="58" uniqueCount="51">
  <si>
    <t>IBERIA</t>
  </si>
  <si>
    <t>10:15-12:40</t>
  </si>
  <si>
    <t>COMPAÑÍA</t>
  </si>
  <si>
    <t>VUELING</t>
  </si>
  <si>
    <t>12:30-15:10</t>
  </si>
  <si>
    <t> primera pieza máx. 40x20x30, segunda pieza (máx. 10 kg y 55x40x20 cm</t>
  </si>
  <si>
    <t>VUELO</t>
  </si>
  <si>
    <t>RESERVA</t>
  </si>
  <si>
    <t>M9GHT</t>
  </si>
  <si>
    <t>IB0659</t>
  </si>
  <si>
    <t>Terminal 4 a Terminal 1</t>
  </si>
  <si>
    <t>DÍA</t>
  </si>
  <si>
    <t>HORA</t>
  </si>
  <si>
    <t> KFQH2F</t>
  </si>
  <si>
    <t>VY1496</t>
  </si>
  <si>
    <t>pieza equipaje de mano bajo asiento (Máx 40x30x20 cm) + maleta facturada 25kg</t>
  </si>
  <si>
    <t>equipaje de mano (56,40,25)</t>
  </si>
  <si>
    <t>HS98V</t>
  </si>
  <si>
    <t>XDILMR</t>
  </si>
  <si>
    <t>EQUIPAJE</t>
  </si>
  <si>
    <t>VUELOS</t>
  </si>
  <si>
    <t>Coliseo, Foro y Palatino</t>
  </si>
  <si>
    <t>10:25- (12:55-13:25)</t>
  </si>
  <si>
    <t>Vía de Coliseo, 41</t>
  </si>
  <si>
    <t>Vaticano y Capilla Sixtina</t>
  </si>
  <si>
    <t>10-(12:30-13:00)</t>
  </si>
  <si>
    <t>Viale Giulio Cesare</t>
  </si>
  <si>
    <t>ALOJAMIENTO ROMA</t>
  </si>
  <si>
    <t>RUTAS ROMANAS (15 min antes)</t>
  </si>
  <si>
    <t>Caravagio</t>
  </si>
  <si>
    <t>TREN ROMA-FLORENCIA</t>
  </si>
  <si>
    <t>HOTEL FLORENCIA</t>
  </si>
  <si>
    <t>PARAGUAS SOL</t>
  </si>
  <si>
    <t>POR CABEZA EN CLUB DE LOS 60</t>
  </si>
  <si>
    <t>Bus ALSA</t>
  </si>
  <si>
    <t>IBERIA vuelo a Roma yo</t>
  </si>
  <si>
    <t>IBERIA vuelo a Roma ella</t>
  </si>
  <si>
    <t>Vuelo Florencia-Madrid yo</t>
  </si>
  <si>
    <t>Vuelo Florencia Madird ella</t>
  </si>
  <si>
    <t>BUS FLUIMUCINO-ROMA</t>
  </si>
  <si>
    <t>5:30-8:45</t>
  </si>
  <si>
    <t>SEGURO VIAJE</t>
  </si>
  <si>
    <t>GALERÍA UFIZZI</t>
  </si>
  <si>
    <t>GALERÍA ACADEMIA</t>
  </si>
  <si>
    <t>BUS ALSA MADRID - VALLAD.</t>
  </si>
  <si>
    <t>PANTEÓN</t>
  </si>
  <si>
    <t>DUOMO SIENA</t>
  </si>
  <si>
    <t>Terravision</t>
  </si>
  <si>
    <t>VISITA COLISEO</t>
  </si>
  <si>
    <t>VISITA VATICANO</t>
  </si>
  <si>
    <t>equipaje de mano (56,40,25) &lt;10Kg + equipaje &lt;23kg (selección asiento desde 24h)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</si>
</sst>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#,##0\ &quot;€&quot;;[Red]\-#,##0\ &quot;€&quot;"/>
    <numFmt numFmtId="8" formatCode="#,##0.00\ &quot;€&quot;;[Red]\-#,##0.00\ &quot;€&quot;"/>
    <numFmt numFmtId="164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777777"/>
      <name val="Verdana"/>
      <family val="2"/>
    </font>
    <font>
      <b/>
      <sz val="9"/>
      <color rgb="FF000000"/>
      <name val="Arial"/>
      <family val="2"/>
    </font>
    <font>
      <b/>
      <sz val="11"/>
      <color rgb="FF00B05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Font="1" applyBorder="1"/>
    <xf numFmtId="0" fontId="1" fillId="0" borderId="1" xfId="0" applyFont="1" applyBorder="1"/>
    <xf numFmtId="0" fontId="3" fillId="0" borderId="1" xfId="0" applyFont="1" applyBorder="1"/>
    <xf numFmtId="20" fontId="0" fillId="0" borderId="1" xfId="0" applyNumberFormat="1" applyBorder="1"/>
    <xf numFmtId="0" fontId="1" fillId="0" borderId="0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Font="1"/>
    <xf numFmtId="8" fontId="4" fillId="0" borderId="1" xfId="0" applyNumberFormat="1" applyFont="1" applyBorder="1"/>
    <xf numFmtId="8" fontId="4" fillId="0" borderId="0" xfId="0" applyNumberFormat="1" applyFont="1"/>
    <xf numFmtId="0" fontId="0" fillId="0" borderId="2" xfId="0" applyFill="1" applyBorder="1"/>
    <xf numFmtId="0" fontId="4" fillId="0" borderId="1" xfId="0" applyFont="1" applyBorder="1"/>
    <xf numFmtId="6" fontId="4" fillId="0" borderId="0" xfId="0" applyNumberFormat="1" applyFont="1"/>
    <xf numFmtId="0" fontId="0" fillId="0" borderId="1" xfId="0" applyFont="1" applyBorder="1" applyAlignment="1">
      <alignment horizontal="left"/>
    </xf>
    <xf numFmtId="8" fontId="4" fillId="0" borderId="0" xfId="0" applyNumberFormat="1" applyFont="1" applyAlignment="1">
      <alignment vertical="center" wrapText="1"/>
    </xf>
    <xf numFmtId="164" fontId="4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5"/>
  <sheetViews>
    <sheetView tabSelected="1" topLeftCell="B1" workbookViewId="0">
      <selection activeCell="G13" sqref="G13"/>
    </sheetView>
  </sheetViews>
  <sheetFormatPr baseColWidth="10" defaultRowHeight="14.4" x14ac:dyDescent="0.3"/>
  <cols>
    <col min="1" max="1" width="26.6640625" bestFit="1" customWidth="1"/>
    <col min="2" max="2" width="12.109375" style="12" bestFit="1" customWidth="1"/>
    <col min="3" max="3" width="23.33203125" bestFit="1" customWidth="1"/>
    <col min="4" max="4" width="4" bestFit="1" customWidth="1"/>
    <col min="5" max="5" width="19.6640625" customWidth="1"/>
    <col min="6" max="6" width="21.6640625" customWidth="1"/>
    <col min="7" max="7" width="68.109375" bestFit="1" customWidth="1"/>
  </cols>
  <sheetData>
    <row r="1" spans="1:10" s="3" customFormat="1" x14ac:dyDescent="0.3">
      <c r="A1" s="4" t="s">
        <v>20</v>
      </c>
      <c r="B1" s="11"/>
      <c r="C1" s="4"/>
      <c r="D1" s="4" t="s">
        <v>11</v>
      </c>
      <c r="E1" s="4" t="s">
        <v>12</v>
      </c>
      <c r="F1" s="4"/>
      <c r="G1" s="4" t="s">
        <v>19</v>
      </c>
      <c r="H1" s="4" t="s">
        <v>2</v>
      </c>
      <c r="I1" s="4" t="s">
        <v>6</v>
      </c>
      <c r="J1" s="4" t="s">
        <v>7</v>
      </c>
    </row>
    <row r="2" spans="1:10" s="3" customFormat="1" x14ac:dyDescent="0.3">
      <c r="A2" s="4"/>
      <c r="B2" s="16">
        <v>35.130000000000003</v>
      </c>
      <c r="C2" s="18" t="s">
        <v>34</v>
      </c>
      <c r="D2" s="4">
        <v>10</v>
      </c>
      <c r="E2" s="5" t="s">
        <v>40</v>
      </c>
      <c r="F2" s="4"/>
      <c r="G2" s="4"/>
      <c r="H2" s="4"/>
      <c r="I2" s="4"/>
      <c r="J2" s="4"/>
    </row>
    <row r="3" spans="1:10" x14ac:dyDescent="0.3">
      <c r="A3" s="5"/>
      <c r="B3" s="16">
        <v>82.57</v>
      </c>
      <c r="C3" s="5" t="s">
        <v>35</v>
      </c>
      <c r="D3" s="5">
        <v>10</v>
      </c>
      <c r="E3" s="5" t="s">
        <v>1</v>
      </c>
      <c r="F3" s="5" t="s">
        <v>10</v>
      </c>
      <c r="G3" s="5" t="s">
        <v>50</v>
      </c>
      <c r="H3" s="6" t="s">
        <v>0</v>
      </c>
      <c r="I3" s="7" t="s">
        <v>9</v>
      </c>
      <c r="J3" s="7" t="s">
        <v>17</v>
      </c>
    </row>
    <row r="4" spans="1:10" x14ac:dyDescent="0.3">
      <c r="A4" s="5"/>
      <c r="B4" s="16">
        <v>54.57</v>
      </c>
      <c r="C4" s="5" t="s">
        <v>36</v>
      </c>
      <c r="D4" s="5">
        <v>10</v>
      </c>
      <c r="E4" s="5" t="s">
        <v>1</v>
      </c>
      <c r="F4" s="5" t="s">
        <v>10</v>
      </c>
      <c r="G4" s="5" t="s">
        <v>16</v>
      </c>
      <c r="H4" s="5" t="s">
        <v>0</v>
      </c>
      <c r="I4" s="7" t="s">
        <v>9</v>
      </c>
      <c r="J4" s="7" t="s">
        <v>8</v>
      </c>
    </row>
    <row r="5" spans="1:10" x14ac:dyDescent="0.3">
      <c r="A5" s="5"/>
      <c r="B5" s="13">
        <v>93.97</v>
      </c>
      <c r="C5" s="5" t="s">
        <v>37</v>
      </c>
      <c r="D5" s="5">
        <v>16</v>
      </c>
      <c r="E5" s="5" t="s">
        <v>4</v>
      </c>
      <c r="F5" s="5"/>
      <c r="G5" s="5" t="s">
        <v>15</v>
      </c>
      <c r="H5" s="5" t="s">
        <v>3</v>
      </c>
      <c r="I5" s="8" t="s">
        <v>14</v>
      </c>
      <c r="J5" s="7" t="s">
        <v>13</v>
      </c>
    </row>
    <row r="6" spans="1:10" x14ac:dyDescent="0.3">
      <c r="A6" s="5"/>
      <c r="B6" s="13">
        <v>114.97</v>
      </c>
      <c r="C6" s="5" t="s">
        <v>38</v>
      </c>
      <c r="D6" s="5">
        <v>16</v>
      </c>
      <c r="E6" s="5" t="s">
        <v>4</v>
      </c>
      <c r="F6" s="5"/>
      <c r="G6" s="5" t="s">
        <v>5</v>
      </c>
      <c r="H6" s="5" t="s">
        <v>3</v>
      </c>
      <c r="I6" s="8" t="s">
        <v>14</v>
      </c>
      <c r="J6" s="7" t="s">
        <v>18</v>
      </c>
    </row>
    <row r="7" spans="1:10" x14ac:dyDescent="0.3">
      <c r="A7" s="1" t="s">
        <v>27</v>
      </c>
      <c r="B7" s="14">
        <v>499.4</v>
      </c>
      <c r="C7" s="15" t="s">
        <v>29</v>
      </c>
      <c r="D7" s="15">
        <v>10</v>
      </c>
    </row>
    <row r="8" spans="1:10" x14ac:dyDescent="0.3">
      <c r="A8" s="1" t="s">
        <v>39</v>
      </c>
      <c r="B8" s="17">
        <v>14</v>
      </c>
      <c r="C8" s="15" t="s">
        <v>47</v>
      </c>
      <c r="D8" s="15">
        <v>10</v>
      </c>
    </row>
    <row r="9" spans="1:10" x14ac:dyDescent="0.3">
      <c r="A9" s="7" t="s">
        <v>48</v>
      </c>
      <c r="B9" s="20">
        <v>128</v>
      </c>
      <c r="C9" s="5" t="s">
        <v>21</v>
      </c>
      <c r="D9" s="5">
        <v>11</v>
      </c>
      <c r="E9" s="9" t="s">
        <v>22</v>
      </c>
      <c r="F9" s="5" t="s">
        <v>23</v>
      </c>
      <c r="G9" s="5" t="s">
        <v>28</v>
      </c>
      <c r="H9" s="5"/>
      <c r="I9" s="5"/>
      <c r="J9" s="5"/>
    </row>
    <row r="10" spans="1:10" x14ac:dyDescent="0.3">
      <c r="A10" s="1" t="s">
        <v>45</v>
      </c>
      <c r="B10" s="14">
        <v>30</v>
      </c>
      <c r="C10" s="5"/>
      <c r="D10" s="5">
        <v>11</v>
      </c>
      <c r="E10" s="5"/>
      <c r="F10" s="5"/>
      <c r="G10" s="5"/>
      <c r="H10" s="5"/>
      <c r="I10" s="5"/>
      <c r="J10" s="5"/>
    </row>
    <row r="11" spans="1:10" x14ac:dyDescent="0.3">
      <c r="A11" s="7" t="s">
        <v>49</v>
      </c>
      <c r="B11" s="20">
        <v>197.54</v>
      </c>
      <c r="C11" s="5" t="s">
        <v>24</v>
      </c>
      <c r="D11" s="5">
        <v>12</v>
      </c>
      <c r="E11" s="5" t="s">
        <v>25</v>
      </c>
      <c r="F11" s="5" t="s">
        <v>26</v>
      </c>
      <c r="G11" s="5"/>
      <c r="H11" s="5"/>
      <c r="I11" s="5"/>
      <c r="J11" s="5"/>
    </row>
    <row r="12" spans="1:10" x14ac:dyDescent="0.3">
      <c r="A12" s="10" t="s">
        <v>30</v>
      </c>
      <c r="B12" s="17">
        <v>56.8</v>
      </c>
      <c r="G12" s="2"/>
    </row>
    <row r="13" spans="1:10" x14ac:dyDescent="0.3">
      <c r="A13" s="10" t="s">
        <v>31</v>
      </c>
      <c r="B13" s="19">
        <v>489.79</v>
      </c>
      <c r="G13" s="2"/>
    </row>
    <row r="14" spans="1:10" x14ac:dyDescent="0.3">
      <c r="A14" s="1" t="s">
        <v>42</v>
      </c>
      <c r="B14" s="19">
        <v>58</v>
      </c>
    </row>
    <row r="15" spans="1:10" x14ac:dyDescent="0.3">
      <c r="A15" s="1" t="s">
        <v>43</v>
      </c>
      <c r="B15" s="19">
        <v>48</v>
      </c>
    </row>
    <row r="16" spans="1:10" x14ac:dyDescent="0.3">
      <c r="A16" s="1" t="s">
        <v>46</v>
      </c>
      <c r="B16" s="19">
        <v>18</v>
      </c>
    </row>
    <row r="17" spans="1:7" x14ac:dyDescent="0.3">
      <c r="A17" s="10" t="s">
        <v>44</v>
      </c>
      <c r="B17" s="19">
        <v>44.94</v>
      </c>
    </row>
    <row r="18" spans="1:7" x14ac:dyDescent="0.3">
      <c r="A18" s="10" t="s">
        <v>41</v>
      </c>
      <c r="B18" s="19">
        <v>41.56</v>
      </c>
    </row>
    <row r="19" spans="1:7" x14ac:dyDescent="0.3">
      <c r="A19" s="10" t="s">
        <v>32</v>
      </c>
      <c r="B19" s="19">
        <v>12</v>
      </c>
      <c r="G19" s="2"/>
    </row>
    <row r="20" spans="1:7" x14ac:dyDescent="0.3">
      <c r="B20" s="21">
        <f>SUM(B2:B18)</f>
        <v>2007.24</v>
      </c>
    </row>
    <row r="22" spans="1:7" x14ac:dyDescent="0.3">
      <c r="E22" s="1">
        <v>1839</v>
      </c>
      <c r="F22" s="1" t="s">
        <v>33</v>
      </c>
    </row>
    <row r="24" spans="1:7" x14ac:dyDescent="0.3">
      <c r="E24" s="1">
        <f>E22*2</f>
        <v>3678</v>
      </c>
    </row>
    <row r="25" spans="1:7" x14ac:dyDescent="0.3">
      <c r="E25">
        <f>E24-B20</f>
        <v>1670.76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Maria</dc:creator>
  <cp:lastModifiedBy>Jose Maria</cp:lastModifiedBy>
  <dcterms:created xsi:type="dcterms:W3CDTF">2026-05-25T09:02:03Z</dcterms:created>
  <dcterms:modified xsi:type="dcterms:W3CDTF">2026-06-07T10:10:45Z</dcterms:modified>
</cp:coreProperties>
</file>