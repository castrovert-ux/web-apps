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480" yWindow="36" windowWidth="22116" windowHeight="10872"/>
  </bookViews>
  <sheets>
    <sheet name="GASTOS TOTALES DE ITALIA" sheetId="1" r:id="rId1"/>
    <sheet name="GASTOS EN ITALIA" sheetId="2" r:id="rId2"/>
    <sheet name="Hoja3" sheetId="3" r:id="rId3"/>
  </sheets>
  <calcPr calcId="144525"/>
</workbook>
</file>

<file path=xl/calcChain.xml><?xml version="1.0" encoding="utf-8"?>
<calcChain xmlns="http://schemas.openxmlformats.org/spreadsheetml/2006/main">
  <c r="E21" i="1" l="1"/>
  <c r="B28" i="2"/>
  <c r="B20" i="1" l="1"/>
  <c r="B21" i="1" s="1"/>
  <c r="E25" i="1" l="1"/>
  <c r="E26" i="1" l="1"/>
</calcChain>
</file>

<file path=xl/comments1.xml><?xml version="1.0" encoding="utf-8"?>
<comments xmlns="http://schemas.openxmlformats.org/spreadsheetml/2006/main">
  <authors>
    <author>Jose Maria</author>
  </authors>
  <commentList>
    <comment ref="B7" authorId="0">
      <text>
        <r>
          <rPr>
            <b/>
            <sz val="9"/>
            <color indexed="81"/>
            <rFont val="Tahoma"/>
            <family val="2"/>
          </rPr>
          <t>463+36 en alojamientto</t>
        </r>
      </text>
    </comment>
    <comment ref="B13" authorId="0">
      <text>
        <r>
          <rPr>
            <b/>
            <sz val="9"/>
            <color indexed="81"/>
            <rFont val="Tahoma"/>
            <family val="2"/>
          </rPr>
          <t xml:space="preserve">454+36
</t>
        </r>
      </text>
    </comment>
  </commentList>
</comments>
</file>

<file path=xl/sharedStrings.xml><?xml version="1.0" encoding="utf-8"?>
<sst xmlns="http://schemas.openxmlformats.org/spreadsheetml/2006/main" count="88" uniqueCount="77">
  <si>
    <t>IBERIA</t>
  </si>
  <si>
    <t>10:15-12:40</t>
  </si>
  <si>
    <t>COMPAÑÍA</t>
  </si>
  <si>
    <t>VUELING</t>
  </si>
  <si>
    <t>12:30-15:10</t>
  </si>
  <si>
    <t> primera pieza máx. 40x20x30, segunda pieza (máx. 10 kg y 55x40x20 cm</t>
  </si>
  <si>
    <t>VUELO</t>
  </si>
  <si>
    <t>RESERVA</t>
  </si>
  <si>
    <t>M9GHT</t>
  </si>
  <si>
    <t>IB0659</t>
  </si>
  <si>
    <t>Terminal 4 a Terminal 1</t>
  </si>
  <si>
    <t>DÍA</t>
  </si>
  <si>
    <t>HORA</t>
  </si>
  <si>
    <t> KFQH2F</t>
  </si>
  <si>
    <t>VY1496</t>
  </si>
  <si>
    <t>pieza equipaje de mano bajo asiento (Máx 40x30x20 cm) + maleta facturada 25kg</t>
  </si>
  <si>
    <t>equipaje de mano (56,40,25)</t>
  </si>
  <si>
    <t>HS98V</t>
  </si>
  <si>
    <t>XDILMR</t>
  </si>
  <si>
    <t>EQUIPAJE</t>
  </si>
  <si>
    <t>VUELOS</t>
  </si>
  <si>
    <t>Coliseo, Foro y Palatino</t>
  </si>
  <si>
    <t>10:25- (12:55-13:25)</t>
  </si>
  <si>
    <t>Vía de Coliseo, 41</t>
  </si>
  <si>
    <t>Vaticano y Capilla Sixtina</t>
  </si>
  <si>
    <t>10-(12:30-13:00)</t>
  </si>
  <si>
    <t>Viale Giulio Cesare</t>
  </si>
  <si>
    <t>ALOJAMIENTO ROMA</t>
  </si>
  <si>
    <t>RUTAS ROMANAS (15 min antes)</t>
  </si>
  <si>
    <t>Caravagio</t>
  </si>
  <si>
    <t>TREN ROMA-FLORENCIA</t>
  </si>
  <si>
    <t>HOTEL FLORENCIA</t>
  </si>
  <si>
    <t>PARAGUAS SOL</t>
  </si>
  <si>
    <t>POR CABEZA EN CLUB DE LOS 60</t>
  </si>
  <si>
    <t>Bus ALSA</t>
  </si>
  <si>
    <t>IBERIA vuelo a Roma yo</t>
  </si>
  <si>
    <t>IBERIA vuelo a Roma ella</t>
  </si>
  <si>
    <t>Vuelo Florencia-Madrid yo</t>
  </si>
  <si>
    <t>Vuelo Florencia Madird ella</t>
  </si>
  <si>
    <t>BUS FLUIMUCINO-ROMA</t>
  </si>
  <si>
    <t>5:30-8:45</t>
  </si>
  <si>
    <t>SEGURO VIAJE</t>
  </si>
  <si>
    <t>GALERÍA UFIZZI</t>
  </si>
  <si>
    <t>GALERÍA ACADEMIA</t>
  </si>
  <si>
    <t>BUS ALSA MADRID - VALLAD.</t>
  </si>
  <si>
    <t>PANTEÓN</t>
  </si>
  <si>
    <t>DUOMO SIENA</t>
  </si>
  <si>
    <t>Terravision</t>
  </si>
  <si>
    <t>VISITA COLISEO</t>
  </si>
  <si>
    <t>VISITA VATICANO</t>
  </si>
  <si>
    <t>equipaje de mano (56,40,25) &lt;10Kg + equipaje &lt;23kg (selección asiento desde 24h)</t>
  </si>
  <si>
    <t>GASTOS EN ITALIA</t>
  </si>
  <si>
    <t>LUGAR</t>
  </si>
  <si>
    <t>McDonalds helado</t>
  </si>
  <si>
    <t>carrefour express</t>
  </si>
  <si>
    <t>McDonalds patatas</t>
  </si>
  <si>
    <t>comida aeropuerto Roma llegada: agua y pizza</t>
  </si>
  <si>
    <t>pago llegada alojamiento Roma</t>
  </si>
  <si>
    <t>metro Roma</t>
  </si>
  <si>
    <t>Café en Florencia, 2 cafés</t>
  </si>
  <si>
    <t>Supermercado Tigre</t>
  </si>
  <si>
    <t>Transacción online día 13 del cambio..</t>
  </si>
  <si>
    <t>Transacción 11 de diciembre no sé de qué</t>
  </si>
  <si>
    <t>La bottega del café Siena Fruta en vaso</t>
  </si>
  <si>
    <t>Supermercado Pam en Siena</t>
  </si>
  <si>
    <t>Cena en Florencia Lántica Fraschetta</t>
  </si>
  <si>
    <t>Ufizi postales</t>
  </si>
  <si>
    <t>Edoardo Florencia helado</t>
  </si>
  <si>
    <t>il Bargello Siena (espaguetis gruesos)</t>
  </si>
  <si>
    <t>Helados en Roma</t>
  </si>
  <si>
    <t>Pizza en mercado de Florencia</t>
  </si>
  <si>
    <t>MULTA TRANVIA</t>
  </si>
  <si>
    <t>LLEGADA TARDE A BARJAS</t>
  </si>
  <si>
    <t>LOS DOS</t>
  </si>
  <si>
    <t xml:space="preserve">cuchillo puntilla </t>
  </si>
  <si>
    <t>pasta en bote 11 de junio</t>
  </si>
  <si>
    <t>POR CABEZA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</si>
</sst>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6" formatCode="#,##0\ &quot;€&quot;;[Red]\-#,##0\ &quot;€&quot;"/>
    <numFmt numFmtId="8" formatCode="#,##0.00\ &quot;€&quot;;[Red]\-#,##0.00\ &quot;€&quot;"/>
    <numFmt numFmtId="164" formatCode="#,##0.00\ &quot;€&quot;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rgb="FF777777"/>
      <name val="Verdana"/>
      <family val="2"/>
    </font>
    <font>
      <b/>
      <sz val="9"/>
      <color rgb="FF000000"/>
      <name val="Arial"/>
      <family val="2"/>
    </font>
    <font>
      <b/>
      <sz val="11"/>
      <color rgb="FF00B050"/>
      <name val="Calibri"/>
      <family val="2"/>
      <scheme val="minor"/>
    </font>
    <font>
      <b/>
      <sz val="9"/>
      <color indexed="81"/>
      <name val="Tahoma"/>
      <family val="2"/>
    </font>
    <font>
      <b/>
      <sz val="11"/>
      <color rgb="FFFF0000"/>
      <name val="Calibri"/>
      <family val="2"/>
      <scheme val="minor"/>
    </font>
    <font>
      <sz val="11"/>
      <color theme="5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 applyAlignment="1">
      <alignment vertical="center" wrapText="1"/>
    </xf>
    <xf numFmtId="0" fontId="1" fillId="0" borderId="0" xfId="0" applyFont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1" xfId="0" applyBorder="1"/>
    <xf numFmtId="0" fontId="0" fillId="0" borderId="1" xfId="0" applyFont="1" applyBorder="1"/>
    <xf numFmtId="0" fontId="1" fillId="0" borderId="1" xfId="0" applyFont="1" applyBorder="1"/>
    <xf numFmtId="0" fontId="3" fillId="0" borderId="1" xfId="0" applyFont="1" applyBorder="1"/>
    <xf numFmtId="20" fontId="0" fillId="0" borderId="1" xfId="0" applyNumberFormat="1" applyBorder="1"/>
    <xf numFmtId="0" fontId="1" fillId="0" borderId="0" xfId="0" applyFont="1" applyFill="1" applyBorder="1"/>
    <xf numFmtId="0" fontId="0" fillId="0" borderId="1" xfId="0" applyFont="1" applyBorder="1" applyAlignment="1">
      <alignment horizontal="center"/>
    </xf>
    <xf numFmtId="0" fontId="0" fillId="0" borderId="0" xfId="0" applyFont="1"/>
    <xf numFmtId="8" fontId="4" fillId="0" borderId="1" xfId="0" applyNumberFormat="1" applyFont="1" applyBorder="1"/>
    <xf numFmtId="8" fontId="4" fillId="0" borderId="0" xfId="0" applyNumberFormat="1" applyFont="1"/>
    <xf numFmtId="0" fontId="0" fillId="0" borderId="2" xfId="0" applyFill="1" applyBorder="1"/>
    <xf numFmtId="0" fontId="4" fillId="0" borderId="1" xfId="0" applyFont="1" applyBorder="1"/>
    <xf numFmtId="6" fontId="4" fillId="0" borderId="0" xfId="0" applyNumberFormat="1" applyFont="1"/>
    <xf numFmtId="0" fontId="0" fillId="0" borderId="1" xfId="0" applyFont="1" applyBorder="1" applyAlignment="1">
      <alignment horizontal="left"/>
    </xf>
    <xf numFmtId="8" fontId="4" fillId="0" borderId="0" xfId="0" applyNumberFormat="1" applyFont="1" applyAlignment="1">
      <alignment vertical="center" wrapText="1"/>
    </xf>
    <xf numFmtId="164" fontId="4" fillId="0" borderId="1" xfId="0" applyNumberFormat="1" applyFont="1" applyBorder="1"/>
    <xf numFmtId="0" fontId="6" fillId="0" borderId="0" xfId="0" applyFont="1"/>
    <xf numFmtId="0" fontId="7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J26"/>
  <sheetViews>
    <sheetView tabSelected="1" workbookViewId="0">
      <selection activeCell="G21" sqref="G21"/>
    </sheetView>
  </sheetViews>
  <sheetFormatPr baseColWidth="10" defaultRowHeight="14.4" x14ac:dyDescent="0.3"/>
  <cols>
    <col min="1" max="1" width="26.6640625" bestFit="1" customWidth="1"/>
    <col min="2" max="2" width="12.109375" style="12" bestFit="1" customWidth="1"/>
    <col min="3" max="3" width="23.33203125" bestFit="1" customWidth="1"/>
    <col min="4" max="4" width="4" bestFit="1" customWidth="1"/>
    <col min="5" max="5" width="19.6640625" customWidth="1"/>
    <col min="6" max="6" width="21.6640625" customWidth="1"/>
    <col min="7" max="7" width="68.109375" bestFit="1" customWidth="1"/>
  </cols>
  <sheetData>
    <row r="1" spans="1:10" s="3" customFormat="1" x14ac:dyDescent="0.3">
      <c r="A1" s="4" t="s">
        <v>20</v>
      </c>
      <c r="B1" s="11"/>
      <c r="C1" s="4"/>
      <c r="D1" s="4" t="s">
        <v>11</v>
      </c>
      <c r="E1" s="4" t="s">
        <v>12</v>
      </c>
      <c r="F1" s="4"/>
      <c r="G1" s="4" t="s">
        <v>19</v>
      </c>
      <c r="H1" s="4" t="s">
        <v>2</v>
      </c>
      <c r="I1" s="4" t="s">
        <v>6</v>
      </c>
      <c r="J1" s="4" t="s">
        <v>7</v>
      </c>
    </row>
    <row r="2" spans="1:10" s="3" customFormat="1" x14ac:dyDescent="0.3">
      <c r="A2" s="4"/>
      <c r="B2" s="16">
        <v>35.130000000000003</v>
      </c>
      <c r="C2" s="18" t="s">
        <v>34</v>
      </c>
      <c r="D2" s="4">
        <v>10</v>
      </c>
      <c r="E2" s="5" t="s">
        <v>40</v>
      </c>
      <c r="F2" s="4"/>
      <c r="G2" s="4"/>
      <c r="H2" s="4"/>
      <c r="I2" s="4"/>
      <c r="J2" s="4"/>
    </row>
    <row r="3" spans="1:10" x14ac:dyDescent="0.3">
      <c r="A3" s="5"/>
      <c r="B3" s="16">
        <v>82.57</v>
      </c>
      <c r="C3" s="5" t="s">
        <v>35</v>
      </c>
      <c r="D3" s="5">
        <v>10</v>
      </c>
      <c r="E3" s="5" t="s">
        <v>1</v>
      </c>
      <c r="F3" s="5" t="s">
        <v>10</v>
      </c>
      <c r="G3" s="5" t="s">
        <v>50</v>
      </c>
      <c r="H3" s="6" t="s">
        <v>0</v>
      </c>
      <c r="I3" s="7" t="s">
        <v>9</v>
      </c>
      <c r="J3" s="7" t="s">
        <v>17</v>
      </c>
    </row>
    <row r="4" spans="1:10" x14ac:dyDescent="0.3">
      <c r="A4" s="5"/>
      <c r="B4" s="16">
        <v>54.57</v>
      </c>
      <c r="C4" s="5" t="s">
        <v>36</v>
      </c>
      <c r="D4" s="5">
        <v>10</v>
      </c>
      <c r="E4" s="5" t="s">
        <v>1</v>
      </c>
      <c r="F4" s="5" t="s">
        <v>10</v>
      </c>
      <c r="G4" s="5" t="s">
        <v>16</v>
      </c>
      <c r="H4" s="5" t="s">
        <v>0</v>
      </c>
      <c r="I4" s="7" t="s">
        <v>9</v>
      </c>
      <c r="J4" s="7" t="s">
        <v>8</v>
      </c>
    </row>
    <row r="5" spans="1:10" x14ac:dyDescent="0.3">
      <c r="A5" s="5"/>
      <c r="B5" s="13">
        <v>93.97</v>
      </c>
      <c r="C5" s="5" t="s">
        <v>37</v>
      </c>
      <c r="D5" s="5">
        <v>16</v>
      </c>
      <c r="E5" s="5" t="s">
        <v>4</v>
      </c>
      <c r="F5" s="5"/>
      <c r="G5" s="5" t="s">
        <v>15</v>
      </c>
      <c r="H5" s="5" t="s">
        <v>3</v>
      </c>
      <c r="I5" s="8" t="s">
        <v>14</v>
      </c>
      <c r="J5" s="7" t="s">
        <v>13</v>
      </c>
    </row>
    <row r="6" spans="1:10" x14ac:dyDescent="0.3">
      <c r="A6" s="5"/>
      <c r="B6" s="13">
        <v>114.97</v>
      </c>
      <c r="C6" s="5" t="s">
        <v>38</v>
      </c>
      <c r="D6" s="5">
        <v>16</v>
      </c>
      <c r="E6" s="5" t="s">
        <v>4</v>
      </c>
      <c r="F6" s="5"/>
      <c r="G6" s="5" t="s">
        <v>5</v>
      </c>
      <c r="H6" s="5" t="s">
        <v>3</v>
      </c>
      <c r="I6" s="8" t="s">
        <v>14</v>
      </c>
      <c r="J6" s="7" t="s">
        <v>18</v>
      </c>
    </row>
    <row r="7" spans="1:10" x14ac:dyDescent="0.3">
      <c r="A7" s="1" t="s">
        <v>27</v>
      </c>
      <c r="B7" s="14">
        <v>499.4</v>
      </c>
      <c r="C7" s="15" t="s">
        <v>29</v>
      </c>
      <c r="D7" s="15">
        <v>10</v>
      </c>
    </row>
    <row r="8" spans="1:10" x14ac:dyDescent="0.3">
      <c r="A8" s="1" t="s">
        <v>39</v>
      </c>
      <c r="B8" s="17">
        <v>14</v>
      </c>
      <c r="C8" s="15" t="s">
        <v>47</v>
      </c>
      <c r="D8" s="15">
        <v>10</v>
      </c>
    </row>
    <row r="9" spans="1:10" x14ac:dyDescent="0.3">
      <c r="A9" s="7" t="s">
        <v>48</v>
      </c>
      <c r="B9" s="20">
        <v>128</v>
      </c>
      <c r="C9" s="5" t="s">
        <v>21</v>
      </c>
      <c r="D9" s="5">
        <v>11</v>
      </c>
      <c r="E9" s="9" t="s">
        <v>22</v>
      </c>
      <c r="F9" s="5" t="s">
        <v>23</v>
      </c>
      <c r="G9" s="5" t="s">
        <v>28</v>
      </c>
      <c r="H9" s="5"/>
      <c r="I9" s="5"/>
      <c r="J9" s="5"/>
    </row>
    <row r="10" spans="1:10" x14ac:dyDescent="0.3">
      <c r="A10" s="1" t="s">
        <v>45</v>
      </c>
      <c r="B10" s="14">
        <v>30</v>
      </c>
      <c r="C10" s="5"/>
      <c r="D10" s="5">
        <v>11</v>
      </c>
      <c r="E10" s="5"/>
      <c r="F10" s="5"/>
      <c r="G10" s="5"/>
      <c r="H10" s="5"/>
      <c r="I10" s="5"/>
      <c r="J10" s="5"/>
    </row>
    <row r="11" spans="1:10" x14ac:dyDescent="0.3">
      <c r="A11" s="7" t="s">
        <v>49</v>
      </c>
      <c r="B11" s="20">
        <v>197.54</v>
      </c>
      <c r="C11" s="5" t="s">
        <v>24</v>
      </c>
      <c r="D11" s="5">
        <v>12</v>
      </c>
      <c r="E11" s="5" t="s">
        <v>25</v>
      </c>
      <c r="F11" s="5" t="s">
        <v>26</v>
      </c>
      <c r="G11" s="5"/>
      <c r="H11" s="5"/>
      <c r="I11" s="5"/>
      <c r="J11" s="5"/>
    </row>
    <row r="12" spans="1:10" x14ac:dyDescent="0.3">
      <c r="A12" s="10" t="s">
        <v>30</v>
      </c>
      <c r="B12" s="17">
        <v>56.8</v>
      </c>
      <c r="G12" s="2"/>
    </row>
    <row r="13" spans="1:10" x14ac:dyDescent="0.3">
      <c r="A13" s="10" t="s">
        <v>31</v>
      </c>
      <c r="B13" s="19">
        <v>489.79</v>
      </c>
      <c r="G13" s="2"/>
    </row>
    <row r="14" spans="1:10" x14ac:dyDescent="0.3">
      <c r="A14" s="1" t="s">
        <v>42</v>
      </c>
      <c r="B14" s="19">
        <v>58</v>
      </c>
    </row>
    <row r="15" spans="1:10" x14ac:dyDescent="0.3">
      <c r="A15" s="1" t="s">
        <v>43</v>
      </c>
      <c r="B15" s="19">
        <v>48</v>
      </c>
    </row>
    <row r="16" spans="1:10" x14ac:dyDescent="0.3">
      <c r="A16" s="1" t="s">
        <v>46</v>
      </c>
      <c r="B16" s="19">
        <v>18</v>
      </c>
    </row>
    <row r="17" spans="1:7" x14ac:dyDescent="0.3">
      <c r="A17" s="10" t="s">
        <v>44</v>
      </c>
      <c r="B17" s="19">
        <v>44.94</v>
      </c>
    </row>
    <row r="18" spans="1:7" x14ac:dyDescent="0.3">
      <c r="A18" s="10" t="s">
        <v>41</v>
      </c>
      <c r="B18" s="19">
        <v>41.56</v>
      </c>
    </row>
    <row r="19" spans="1:7" x14ac:dyDescent="0.3">
      <c r="A19" s="10" t="s">
        <v>32</v>
      </c>
      <c r="B19" s="19">
        <v>12</v>
      </c>
      <c r="G19" s="2"/>
    </row>
    <row r="20" spans="1:7" x14ac:dyDescent="0.3">
      <c r="A20" s="10" t="s">
        <v>51</v>
      </c>
      <c r="B20" s="19">
        <f>'GASTOS EN ITALIA'!B28</f>
        <v>555.99</v>
      </c>
      <c r="G20" s="2"/>
    </row>
    <row r="21" spans="1:7" x14ac:dyDescent="0.3">
      <c r="B21" s="21">
        <f>SUM(B2:B20)</f>
        <v>2575.23</v>
      </c>
      <c r="C21" s="1" t="s">
        <v>73</v>
      </c>
      <c r="E21">
        <f>B21/2</f>
        <v>1287.615</v>
      </c>
      <c r="F21" s="1" t="s">
        <v>76</v>
      </c>
    </row>
    <row r="23" spans="1:7" x14ac:dyDescent="0.3">
      <c r="E23" s="1">
        <v>1839</v>
      </c>
      <c r="F23" s="1" t="s">
        <v>33</v>
      </c>
    </row>
    <row r="25" spans="1:7" x14ac:dyDescent="0.3">
      <c r="E25" s="1">
        <f>E23*2</f>
        <v>3678</v>
      </c>
    </row>
    <row r="26" spans="1:7" x14ac:dyDescent="0.3">
      <c r="E26">
        <f>E25-B21</f>
        <v>1102.77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8"/>
  <sheetViews>
    <sheetView workbookViewId="0">
      <selection activeCell="B28" sqref="B2:B28"/>
    </sheetView>
  </sheetViews>
  <sheetFormatPr baseColWidth="10" defaultRowHeight="14.4" x14ac:dyDescent="0.3"/>
  <cols>
    <col min="1" max="1" width="39.33203125" bestFit="1" customWidth="1"/>
  </cols>
  <sheetData>
    <row r="1" spans="1:2" x14ac:dyDescent="0.3">
      <c r="A1" s="5" t="s">
        <v>52</v>
      </c>
      <c r="B1" s="5"/>
    </row>
    <row r="2" spans="1:2" x14ac:dyDescent="0.3">
      <c r="A2" s="5" t="s">
        <v>53</v>
      </c>
      <c r="B2" s="5">
        <v>2.5499999999999998</v>
      </c>
    </row>
    <row r="3" spans="1:2" x14ac:dyDescent="0.3">
      <c r="A3" s="5" t="s">
        <v>54</v>
      </c>
      <c r="B3" s="5">
        <v>8.4499999999999993</v>
      </c>
    </row>
    <row r="4" spans="1:2" x14ac:dyDescent="0.3">
      <c r="A4" s="5" t="s">
        <v>55</v>
      </c>
      <c r="B4" s="5">
        <v>3.35</v>
      </c>
    </row>
    <row r="5" spans="1:2" x14ac:dyDescent="0.3">
      <c r="A5" s="5" t="s">
        <v>56</v>
      </c>
      <c r="B5" s="5">
        <v>22.7</v>
      </c>
    </row>
    <row r="6" spans="1:2" x14ac:dyDescent="0.3">
      <c r="A6" s="5" t="s">
        <v>57</v>
      </c>
      <c r="B6" s="22">
        <v>36</v>
      </c>
    </row>
    <row r="7" spans="1:2" x14ac:dyDescent="0.3">
      <c r="A7" s="5" t="s">
        <v>58</v>
      </c>
      <c r="B7" s="5">
        <v>8</v>
      </c>
    </row>
    <row r="8" spans="1:2" x14ac:dyDescent="0.3">
      <c r="A8" s="5" t="s">
        <v>59</v>
      </c>
      <c r="B8" s="5">
        <v>4.4000000000000004</v>
      </c>
    </row>
    <row r="9" spans="1:2" x14ac:dyDescent="0.3">
      <c r="A9" s="5" t="s">
        <v>60</v>
      </c>
      <c r="B9" s="5">
        <v>6.95</v>
      </c>
    </row>
    <row r="10" spans="1:2" x14ac:dyDescent="0.3">
      <c r="A10" s="5" t="s">
        <v>61</v>
      </c>
      <c r="B10" s="5">
        <v>3.35</v>
      </c>
    </row>
    <row r="11" spans="1:2" x14ac:dyDescent="0.3">
      <c r="A11" s="5" t="s">
        <v>62</v>
      </c>
      <c r="B11" s="5">
        <v>3.8</v>
      </c>
    </row>
    <row r="12" spans="1:2" x14ac:dyDescent="0.3">
      <c r="A12" s="5" t="s">
        <v>63</v>
      </c>
      <c r="B12" s="5">
        <v>5</v>
      </c>
    </row>
    <row r="13" spans="1:2" x14ac:dyDescent="0.3">
      <c r="A13" s="5" t="s">
        <v>54</v>
      </c>
      <c r="B13" s="5">
        <v>5.25</v>
      </c>
    </row>
    <row r="14" spans="1:2" x14ac:dyDescent="0.3">
      <c r="A14" s="5" t="s">
        <v>54</v>
      </c>
      <c r="B14" s="5">
        <v>1.1000000000000001</v>
      </c>
    </row>
    <row r="15" spans="1:2" x14ac:dyDescent="0.3">
      <c r="A15" s="5" t="s">
        <v>64</v>
      </c>
      <c r="B15" s="5">
        <v>12.19</v>
      </c>
    </row>
    <row r="16" spans="1:2" x14ac:dyDescent="0.3">
      <c r="A16" s="5" t="s">
        <v>65</v>
      </c>
      <c r="B16" s="5">
        <v>33</v>
      </c>
    </row>
    <row r="17" spans="1:2" x14ac:dyDescent="0.3">
      <c r="A17" s="5" t="s">
        <v>66</v>
      </c>
      <c r="B17" s="5">
        <v>3.1</v>
      </c>
    </row>
    <row r="18" spans="1:2" x14ac:dyDescent="0.3">
      <c r="A18" s="5" t="s">
        <v>67</v>
      </c>
      <c r="B18" s="5">
        <v>4</v>
      </c>
    </row>
    <row r="19" spans="1:2" x14ac:dyDescent="0.3">
      <c r="A19" s="5" t="s">
        <v>68</v>
      </c>
      <c r="B19" s="5">
        <v>31</v>
      </c>
    </row>
    <row r="20" spans="1:2" x14ac:dyDescent="0.3">
      <c r="A20" s="5" t="s">
        <v>69</v>
      </c>
      <c r="B20" s="5">
        <v>7</v>
      </c>
    </row>
    <row r="21" spans="1:2" x14ac:dyDescent="0.3">
      <c r="A21" s="5" t="s">
        <v>70</v>
      </c>
      <c r="B21" s="5">
        <v>12.5</v>
      </c>
    </row>
    <row r="22" spans="1:2" x14ac:dyDescent="0.3">
      <c r="A22" s="5" t="s">
        <v>74</v>
      </c>
      <c r="B22" s="5">
        <v>2.5</v>
      </c>
    </row>
    <row r="23" spans="1:2" x14ac:dyDescent="0.3">
      <c r="A23" s="5" t="s">
        <v>75</v>
      </c>
      <c r="B23" s="5">
        <v>8</v>
      </c>
    </row>
    <row r="24" spans="1:2" x14ac:dyDescent="0.3">
      <c r="A24" s="5" t="s">
        <v>54</v>
      </c>
      <c r="B24" s="5">
        <v>3.8</v>
      </c>
    </row>
    <row r="25" spans="1:2" x14ac:dyDescent="0.3">
      <c r="A25" s="5" t="s">
        <v>54</v>
      </c>
      <c r="B25" s="5">
        <v>8</v>
      </c>
    </row>
    <row r="26" spans="1:2" x14ac:dyDescent="0.3">
      <c r="A26" s="5" t="s">
        <v>71</v>
      </c>
      <c r="B26" s="5">
        <v>80</v>
      </c>
    </row>
    <row r="27" spans="1:2" x14ac:dyDescent="0.3">
      <c r="A27" s="5" t="s">
        <v>72</v>
      </c>
      <c r="B27" s="5">
        <v>240</v>
      </c>
    </row>
    <row r="28" spans="1:2" x14ac:dyDescent="0.3">
      <c r="A28" s="5"/>
      <c r="B28" s="7">
        <f>SUM(B2:B27)</f>
        <v>555.99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baseColWidth="10"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GASTOS TOTALES DE ITALIA</vt:lpstr>
      <vt:lpstr>GASTOS EN ITALIA</vt:lpstr>
      <vt:lpstr>Hoja3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Maria</dc:creator>
  <cp:lastModifiedBy>Jose Maria</cp:lastModifiedBy>
  <dcterms:created xsi:type="dcterms:W3CDTF">2026-05-25T09:02:03Z</dcterms:created>
  <dcterms:modified xsi:type="dcterms:W3CDTF">2026-06-17T16:08:34Z</dcterms:modified>
</cp:coreProperties>
</file>